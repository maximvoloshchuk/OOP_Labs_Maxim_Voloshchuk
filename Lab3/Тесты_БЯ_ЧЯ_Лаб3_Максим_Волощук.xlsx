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maksv\Downloads\Telegram Desktop\"/>
    </mc:Choice>
  </mc:AlternateContent>
  <xr:revisionPtr revIDLastSave="0" documentId="13_ncr:1_{B2988533-D17B-4926-8CCC-FCA95D70B2B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Тесты" sheetId="1" r:id="rId1"/>
    <sheet name="ЧЯ" sheetId="2" r:id="rId2"/>
    <sheet name="БЯ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1" l="1"/>
  <c r="B24" i="1"/>
  <c r="B26" i="1" s="1"/>
  <c r="B23" i="1"/>
</calcChain>
</file>

<file path=xl/sharedStrings.xml><?xml version="1.0" encoding="utf-8"?>
<sst xmlns="http://schemas.openxmlformats.org/spreadsheetml/2006/main" count="577" uniqueCount="165">
  <si>
    <t>№ теста</t>
  </si>
  <si>
    <t>Исходные данные</t>
  </si>
  <si>
    <t>Ожидаемый результат</t>
  </si>
  <si>
    <t>Полученный результат</t>
  </si>
  <si>
    <t>Статус</t>
  </si>
  <si>
    <t>Примечание</t>
  </si>
  <si>
    <t>Т1</t>
  </si>
  <si>
    <t>Параметры варианта 8 (a=0,1; b=0,8; k=9; n=40; ε=0,0001). Строка 1: x=0,1000</t>
  </si>
  <si>
    <t>Y=0,081409643935448; |SN−Y|&lt;10⁻¹²; |SE−Y|&lt;ε</t>
  </si>
  <si>
    <t>SN=0,081409643935448; SE=0,081417784899841; Y=0,081409643935448; |SE−Y|=8,1·10⁻⁶ (4 слагаемых)</t>
  </si>
  <si>
    <t>+</t>
  </si>
  <si>
    <t>левая граница диапазона x=a</t>
  </si>
  <si>
    <t>Т2</t>
  </si>
  <si>
    <t>Параметры варианта 8 (a=0,1; b=0,8; k=9; n=40; ε=0,0001). Строка 6: x=0,4889</t>
  </si>
  <si>
    <t>Y=0,631272139848148; |SN−Y|&lt;10⁻¹²; |SE−Y|&lt;2ε</t>
  </si>
  <si>
    <t>SN=0,631272139847914; SE=0,631389829594661; Y=0,631272139848148; |SN−Y|=2,3·10⁻¹³; |SE−Y|=1,2·10⁻⁴ (12 слагаемых)</t>
  </si>
  <si>
    <t>внутренняя точка диапазона</t>
  </si>
  <si>
    <t>Т3</t>
  </si>
  <si>
    <t>Параметры варианта 8 (a=0,1; b=0,8; k=9; n=40; ε=0,0001). Строка 10: x=0,8000</t>
  </si>
  <si>
    <t>Y=1,112176572727547; |SN−Y|≤x⁴¹/(1−x)≈5,3·10⁻⁴; |SE−Y|&lt;ε</t>
  </si>
  <si>
    <t>SN=1,112028739103874; SE=1,112103931594239; Y=1,112176572727547; |SN−Y|=1,5·10⁻⁴; |SE−Y|=7,3·10⁻⁵ (41 слагаемое)</t>
  </si>
  <si>
    <t>правая граница x=b; при n=40 остаток x⁴⁰≈1,3·10⁻⁴ &gt;ε, поэтому SE точнее SN</t>
  </si>
  <si>
    <t>Т4</t>
  </si>
  <si>
    <t>Параметры варианта 8 (a=0,1; b=0,8; k=9; n=40; ε=0,0001). Весь вывод таблицы</t>
  </si>
  <si>
    <t>10 строк; x равномерно от 0,1000 до 0,8000 с шагом (b−a)/k=0,0778</t>
  </si>
  <si>
    <t>10 строк; x=0,1000; 0,1778; 0,2556; 0,3333; 0,4111; 0,4889; 0,5667; 0,6444; 0,7222; 0,8000</t>
  </si>
  <si>
    <t>число точек и шаг</t>
  </si>
  <si>
    <t>Т5</t>
  </si>
  <si>
    <t>Параметры варианта 8 (a=0,1; b=0,8; k=9; n=40; ε=0,0001). Строки 1–7 (x≤0,5667)</t>
  </si>
  <si>
    <t>|SN−Y|&lt;10⁻⁹</t>
  </si>
  <si>
    <t>max|SN−Y|=1,05·10⁻¹⁰ (x=0,5667)</t>
  </si>
  <si>
    <t>при x≲0,57 сумма из 40 слагаемых практически совпадает с Y</t>
  </si>
  <si>
    <t>Т6</t>
  </si>
  <si>
    <t>Параметры варианта 8 (a=0,1; b=0,8; k=9; n=40; ε=0,0001). Все 10 строк</t>
  </si>
  <si>
    <t>|SE−Y|&lt;2ε=2·10⁻⁴</t>
  </si>
  <si>
    <t>max|SE−Y|=1,38·10⁻⁴ (x=0,6444)</t>
  </si>
  <si>
    <t>погрешность SE одного порядка с ε</t>
  </si>
  <si>
    <t>Т7</t>
  </si>
  <si>
    <t>|SE−Y|&lt;ε=10⁻⁴ в каждой строке (строгая проверка)</t>
  </si>
  <si>
    <t>условие выполнено в 7 из 10 строк; нарушено при x=0,4889 (1,18·10⁻⁴), x=0,6444 (1,38·10⁻⁴), x=0,7222 (1,13·10⁻⁴)</t>
  </si>
  <si>
    <t>−</t>
  </si>
  <si>
    <t>критерий остановки x^m&lt;ε оценивает величину слагаемого, а не остатка R_n; соответствует методичке («приближенно»)</t>
  </si>
  <si>
    <t>Т8</t>
  </si>
  <si>
    <t>Параметры варианта 8 (a=0,1; b=0,8; k=9; n=40; ε=0,0001). Формат вывода</t>
  </si>
  <si>
    <t>Шапка X, SN, SE, Y; x — 4 знака после запятой, SN, SE, Y — 15 знаков; разделительные линии</t>
  </si>
  <si>
    <t>Формат соответствует шаблону {x:F4}, {SN:F15}, {SE:F15}, {Y:F15}</t>
  </si>
  <si>
    <t>шаблон вывода из методических указаний</t>
  </si>
  <si>
    <t>Т9</t>
  </si>
  <si>
    <t>a=0,1; b=0,8; k=1; n=40; ε=0,0001</t>
  </si>
  <si>
    <t>2 строки: x=0,1000 и x=0,8000</t>
  </si>
  <si>
    <t>2 строки; x=0,1000: Y=0,081409643935448; x=0,8000: Y=1,112176572727547</t>
  </si>
  <si>
    <t>минимальное число шагов, k=1</t>
  </si>
  <si>
    <t>Т10</t>
  </si>
  <si>
    <t>a=0,1; b=0,8; k=9; n=1; ε=0,0001</t>
  </si>
  <si>
    <t>SN=x·sin(π/4); для x=0,1: SN=0,070710678118655</t>
  </si>
  <si>
    <t>x=0,1000: SN=0,070710678118655; x=0,8000: SN=0,565685424949238</t>
  </si>
  <si>
    <t>одно слагаемое в сумме SN</t>
  </si>
  <si>
    <t>Т11</t>
  </si>
  <si>
    <t>a=0,1; b=0,8; k=9; n=0; ε=0,0001</t>
  </si>
  <si>
    <t>SN=0 во всех строках (цикл по j не выполняется); SE и Y не меняются</t>
  </si>
  <si>
    <t>SN=0,000000000000000 во всех 10 строках; SE, Y — как в Т1–Т3</t>
  </si>
  <si>
    <t>ноль итераций внутреннего цикла</t>
  </si>
  <si>
    <t>Т12</t>
  </si>
  <si>
    <t>a=0,1; b=0,8; k=9; n=40; ε=10⁻⁸</t>
  </si>
  <si>
    <t>|SE−Y|&lt;2ε=2·10⁻⁸; число слагаемых растёт</t>
  </si>
  <si>
    <t>max|SE−Y|=1,24·10⁻⁸ (x=0,7222); при x=0,1000 — 8 слагаемых, при x=0,8000 — 82</t>
  </si>
  <si>
    <t>малая точность ε</t>
  </si>
  <si>
    <t>Т13</t>
  </si>
  <si>
    <t>a=0,1; b=0,8; k=9; n=40; ε=0,1</t>
  </si>
  <si>
    <t>x=0,1: условие 0,1≥ε истинно → одно слагаемое, SE=x·sin(π/4)=0,070710678118655</t>
  </si>
  <si>
    <t>x=0,1000: SE=0,070710678118655 (1 слагаемое); x=0,8000: SE=1,127864754843901 (10 слагаемых)</t>
  </si>
  <si>
    <t>граница условия pow_x &gt;= eps (равенство)</t>
  </si>
  <si>
    <t>Т14</t>
  </si>
  <si>
    <t>a=0,00001; b=0,00009; k=1; n=40; ε=0,0001</t>
  </si>
  <si>
    <t>x&lt;ε: цикл while не выполняется, SE=0; SN≈Y</t>
  </si>
  <si>
    <t>x=0,00001: SN=0,000007071167813; SE=0; Y=0,000007071167813; x=0,00009: SE=0</t>
  </si>
  <si>
    <t>ноль итераций цикла по точности; |SE−Y|&lt;ε формально выполнено</t>
  </si>
  <si>
    <t>Т15</t>
  </si>
  <si>
    <t>a=0,1; b=0,8; k=−1; n=40; ε=0,0001</t>
  </si>
  <si>
    <t>Внешний цикл не выполняется; выводится только шапка таблицы</t>
  </si>
  <si>
    <t>Выведена только шапка таблицы, строк с данными нет</t>
  </si>
  <si>
    <t>ноль итераций внешнего цикла (проверки k нет)</t>
  </si>
  <si>
    <t>Т16</t>
  </si>
  <si>
    <t>a=0,1; b=0,8; k=0; n=40; ε=0,0001</t>
  </si>
  <si>
    <t>Одна точка x=a=0,1000 либо сообщение об ошибке</t>
  </si>
  <si>
    <t>step=+∞ (для double исключения нет); x=a+0·∞=NaN; SN=NaN; SE=0; Y=NaN</t>
  </si>
  <si>
    <t>нет проверки k≥1; в рамках варианта k задано константой k=9</t>
  </si>
  <si>
    <t>Т17</t>
  </si>
  <si>
    <t>a=−0,5; b=−0,5; k=1; n=40; ε=0,0001</t>
  </si>
  <si>
    <t>Ряд сходится (|x|&lt;1): SE≈Y=−0,180651047756793</t>
  </si>
  <si>
    <t>SN=−0,180651047756628; SE=0,000000000000000; Y=−0,180651047756793</t>
  </si>
  <si>
    <t>вне диапазона варианта (0,1≤x≤0,8); условие pow_x&gt;=eps ложно при x&lt;0, нужен Math.Abs(pow_x)</t>
  </si>
  <si>
    <t>Т18</t>
  </si>
  <si>
    <t>a=1; b=1; k=1; n=40; ε=0,0001</t>
  </si>
  <si>
    <t>x=1: ряд расходится, цикл по ε не должен быть бесконечным</t>
  </si>
  <si>
    <t>pow_x остаётся равным 1, условие pow_x&gt;=eps всегда истинно — цикл while не завершается (по анализу кода)</t>
  </si>
  <si>
    <t>вне диапазона варианта; требуется ограничение |x|&lt;1</t>
  </si>
  <si>
    <t>Т19</t>
  </si>
  <si>
    <t>Аналитическая проверка знаменателя Y=x·sin(π/4)/(1−2x·cos(π/4)+x²) при любом x</t>
  </si>
  <si>
    <t>Знаменатель &gt;0 при любом x: дискриминант 2−4&lt;0, min=0,5 при x=√2/2</t>
  </si>
  <si>
    <t>min знаменателя на сетке x∈[−5; 5] с шагом 0,001 равен 0,5000; деление на ноль невозможно</t>
  </si>
  <si>
    <t>Y определена на всей числовой оси</t>
  </si>
  <si>
    <t>Итоги</t>
  </si>
  <si>
    <t>Всего тестов</t>
  </si>
  <si>
    <t>Совпадение с ожиданием (+)</t>
  </si>
  <si>
    <t>Замечания (−)</t>
  </si>
  <si>
    <t>Доля совпадений</t>
  </si>
  <si>
    <t>КЛАССЫ ВХОДНЫХ ДАННЫХ</t>
  </si>
  <si>
    <t>Параметры варианта 8 (a=0,1; b=0,8; k=9; n=40; ε=10⁻⁴)</t>
  </si>
  <si>
    <t>x = a (левая граница диапазона)</t>
  </si>
  <si>
    <t>a &lt; x &lt; b (внутри диапазона)</t>
  </si>
  <si>
    <t>x = b (правая граница диапазона)</t>
  </si>
  <si>
    <t>k = 1 (минимальное число шагов)</t>
  </si>
  <si>
    <t>k = 0 (деление на ноль при расчёте шага)</t>
  </si>
  <si>
    <t>k &lt; 0 (внешний цикл не выполняется)</t>
  </si>
  <si>
    <t>n = 0 (пустая сумма SN)</t>
  </si>
  <si>
    <t>n = 1 (одно слагаемое)</t>
  </si>
  <si>
    <t>ε малое (10⁻⁸)</t>
  </si>
  <si>
    <t>ε большое (0,1), x = ε на границе условия</t>
  </si>
  <si>
    <t>0 &lt; x &lt; ε</t>
  </si>
  <si>
    <t>x &lt; 0 (вне диапазона варианта)</t>
  </si>
  <si>
    <t>x = 1 (граница сходимости ряда)</t>
  </si>
  <si>
    <t>x — любое вещественное (анализ знаменателя Y)</t>
  </si>
  <si>
    <t>КЛАССЫ ВЫХОДНЫХ ДАННЫХ</t>
  </si>
  <si>
    <t>Таблица из 10 строк с равномерным шагом x</t>
  </si>
  <si>
    <t>Таблица из 2 строк</t>
  </si>
  <si>
    <t>Пустая таблица (только шапка)</t>
  </si>
  <si>
    <t>|SN−Y| &lt; 10⁻⁹ (сумма по n практически точна)</t>
  </si>
  <si>
    <t>|SN−Y| определяется остатком R_n (малое n или x близко к 1)</t>
  </si>
  <si>
    <t>|SE−Y| &lt; ε</t>
  </si>
  <si>
    <t>ε ≤ |SE−Y| &lt; 2ε</t>
  </si>
  <si>
    <t>SE = 0 (цикл по точности не выполнялся)</t>
  </si>
  <si>
    <t>SE = первое слагаемое (x = ε на границе условия)</t>
  </si>
  <si>
    <t>В результатах NaN</t>
  </si>
  <si>
    <t>Зацикливание программы</t>
  </si>
  <si>
    <t>Y конечно, деления на ноль нет</t>
  </si>
  <si>
    <t>Формат вывода соответствует шаблону</t>
  </si>
  <si>
    <t>ОПЕРАТОРЫ И ВЕТКИ</t>
  </si>
  <si>
    <t>for (i = 0; i &lt;= k; i++): условие истинно — тело выполняется</t>
  </si>
  <si>
    <t>for (i = 0; i &lt;= k; i++): условие ложно — выход из цикла</t>
  </si>
  <si>
    <t>for (j = 1; j &lt;= n; j++): условие истинно — тело выполняется</t>
  </si>
  <si>
    <t>for (j = 1; j &lt;= n; j++): условие ложно — выход из цикла</t>
  </si>
  <si>
    <t>while (pow_x &gt;= eps): условие истинно — тело выполняется</t>
  </si>
  <si>
    <t>while (pow_x &gt;= eps): условие ложно — выход из цикла</t>
  </si>
  <si>
    <t>SN += Math.Pow(x, j) * Math.Sin(j * pi / 4)</t>
  </si>
  <si>
    <t>SE += pow_x * Math.Sin(m * pi / 4); pow_x *= x; m++</t>
  </si>
  <si>
    <t>Y = (x * sinPi4) / (1 - 2 * x * cosPi4 + Math.Pow(x, 2))</t>
  </si>
  <si>
    <t>Console.WriteLine — шапка таблицы</t>
  </si>
  <si>
    <t>Console.WriteLine — строка результатов</t>
  </si>
  <si>
    <t>ПОКРЫТИЕ ЦИКЛОВ (0, 1, 2 и более итераций)</t>
  </si>
  <si>
    <t>Внешний цикл по i: 0 итераций (k &lt; 0)</t>
  </si>
  <si>
    <t>Внешний цикл по i: 1 итерация (k = 0)</t>
  </si>
  <si>
    <t>Внешний цикл по i: 2 и более итераций</t>
  </si>
  <si>
    <t>Цикл суммы SN: 0 итераций (n = 0)</t>
  </si>
  <si>
    <t>Цикл суммы SN: 1 итерация (n = 1)</t>
  </si>
  <si>
    <t>Цикл суммы SN: 2 и более итераций (n = 40)</t>
  </si>
  <si>
    <t>Цикл по точности SE: 0 итераций (x &lt; ε, x &lt; 0, NaN)</t>
  </si>
  <si>
    <t>Цикл по точности SE: 1 итерация (x = 0,1; ε = 0,1)</t>
  </si>
  <si>
    <t>Цикл по точности SE: 2 и более итераций</t>
  </si>
  <si>
    <t>Цикл по точности SE: не завершается (x ≥ 1)</t>
  </si>
  <si>
    <t>БАЗИСНЫЕ ПУТИ (цикломатическая сложность V(G) = 4)</t>
  </si>
  <si>
    <t>Путь 1: внешний цикл пропущен (k &lt; 0)</t>
  </si>
  <si>
    <t>Путь 2: внешний цикл выполнен, цикл SN пропущен (n = 0)</t>
  </si>
  <si>
    <t>Путь 3: внешний и SN выполнены, цикл SE пропущен (x &lt; ε)</t>
  </si>
  <si>
    <t>Путь 4: выполнены все три цикла (параметры варианта)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</si>
</sst>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tabSelected="1" zoomScale="70" zoomScaleNormal="70" workbookViewId="0">
      <pane ySplit="1" topLeftCell="A14" activePane="bottomLeft" state="frozen"/>
      <selection pane="bottomLeft" activeCell="A28" sqref="A28"/>
    </sheetView>
  </sheetViews>
  <sheetFormatPr defaultColWidth="8.6640625" defaultRowHeight="14.4" x14ac:dyDescent="0.3"/>
  <cols>
    <col min="1" max="1" width="26" customWidth="1"/>
    <col min="2" max="2" width="42" customWidth="1"/>
    <col min="3" max="3" width="44" customWidth="1"/>
    <col min="4" max="4" width="56" customWidth="1"/>
    <col min="5" max="5" width="9" customWidth="1"/>
    <col min="6" max="6" width="4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spans="1:6" ht="43.5" customHeight="1" x14ac:dyDescent="0.3">
      <c r="A3" s="2" t="s">
        <v>12</v>
      </c>
      <c r="B3" s="3" t="s">
        <v>13</v>
      </c>
      <c r="C3" s="3" t="s">
        <v>14</v>
      </c>
      <c r="D3" s="3" t="s">
        <v>15</v>
      </c>
      <c r="E3" s="4" t="s">
        <v>10</v>
      </c>
      <c r="F3" s="3" t="s">
        <v>16</v>
      </c>
    </row>
    <row r="4" spans="1:6" ht="43.5" customHeight="1" x14ac:dyDescent="0.3">
      <c r="A4" s="2" t="s">
        <v>17</v>
      </c>
      <c r="B4" s="3" t="s">
        <v>18</v>
      </c>
      <c r="C4" s="3" t="s">
        <v>19</v>
      </c>
      <c r="D4" s="3" t="s">
        <v>20</v>
      </c>
      <c r="E4" s="4" t="s">
        <v>10</v>
      </c>
      <c r="F4" s="3" t="s">
        <v>21</v>
      </c>
    </row>
    <row r="5" spans="1:6" ht="30" customHeight="1" x14ac:dyDescent="0.3">
      <c r="A5" s="2" t="s">
        <v>22</v>
      </c>
      <c r="B5" s="3" t="s">
        <v>23</v>
      </c>
      <c r="C5" s="3" t="s">
        <v>24</v>
      </c>
      <c r="D5" s="3" t="s">
        <v>25</v>
      </c>
      <c r="E5" s="4" t="s">
        <v>10</v>
      </c>
      <c r="F5" s="3" t="s">
        <v>26</v>
      </c>
    </row>
    <row r="6" spans="1:6" ht="43.5" customHeight="1" x14ac:dyDescent="0.3">
      <c r="A6" s="2" t="s">
        <v>27</v>
      </c>
      <c r="B6" s="3" t="s">
        <v>28</v>
      </c>
      <c r="C6" s="3" t="s">
        <v>29</v>
      </c>
      <c r="D6" s="3" t="s">
        <v>30</v>
      </c>
      <c r="E6" s="4" t="s">
        <v>10</v>
      </c>
      <c r="F6" s="3" t="s">
        <v>31</v>
      </c>
    </row>
    <row r="7" spans="1:6" ht="30" customHeight="1" x14ac:dyDescent="0.3">
      <c r="A7" s="2" t="s">
        <v>32</v>
      </c>
      <c r="B7" s="3" t="s">
        <v>33</v>
      </c>
      <c r="C7" s="3" t="s">
        <v>34</v>
      </c>
      <c r="D7" s="3" t="s">
        <v>35</v>
      </c>
      <c r="E7" s="4" t="s">
        <v>10</v>
      </c>
      <c r="F7" s="3" t="s">
        <v>36</v>
      </c>
    </row>
    <row r="8" spans="1:6" ht="43.5" customHeight="1" x14ac:dyDescent="0.3">
      <c r="A8" s="2" t="s">
        <v>37</v>
      </c>
      <c r="B8" s="3" t="s">
        <v>33</v>
      </c>
      <c r="C8" s="3" t="s">
        <v>38</v>
      </c>
      <c r="D8" s="3" t="s">
        <v>39</v>
      </c>
      <c r="E8" s="5" t="s">
        <v>40</v>
      </c>
      <c r="F8" s="3" t="s">
        <v>41</v>
      </c>
    </row>
    <row r="9" spans="1:6" ht="43.5" customHeight="1" x14ac:dyDescent="0.3">
      <c r="A9" s="2" t="s">
        <v>42</v>
      </c>
      <c r="B9" s="3" t="s">
        <v>43</v>
      </c>
      <c r="C9" s="3" t="s">
        <v>44</v>
      </c>
      <c r="D9" s="3" t="s">
        <v>45</v>
      </c>
      <c r="E9" s="4" t="s">
        <v>10</v>
      </c>
      <c r="F9" s="3" t="s">
        <v>46</v>
      </c>
    </row>
    <row r="10" spans="1:6" ht="30" customHeight="1" x14ac:dyDescent="0.3">
      <c r="A10" s="2" t="s">
        <v>47</v>
      </c>
      <c r="B10" s="3" t="s">
        <v>48</v>
      </c>
      <c r="C10" s="3" t="s">
        <v>49</v>
      </c>
      <c r="D10" s="3" t="s">
        <v>50</v>
      </c>
      <c r="E10" s="4" t="s">
        <v>10</v>
      </c>
      <c r="F10" s="3" t="s">
        <v>51</v>
      </c>
    </row>
    <row r="11" spans="1:6" ht="30" customHeight="1" x14ac:dyDescent="0.3">
      <c r="A11" s="2" t="s">
        <v>52</v>
      </c>
      <c r="B11" s="3" t="s">
        <v>53</v>
      </c>
      <c r="C11" s="3" t="s">
        <v>54</v>
      </c>
      <c r="D11" s="3" t="s">
        <v>55</v>
      </c>
      <c r="E11" s="4" t="s">
        <v>10</v>
      </c>
      <c r="F11" s="3" t="s">
        <v>56</v>
      </c>
    </row>
    <row r="12" spans="1:6" ht="30" customHeight="1" x14ac:dyDescent="0.3">
      <c r="A12" s="2" t="s">
        <v>57</v>
      </c>
      <c r="B12" s="3" t="s">
        <v>58</v>
      </c>
      <c r="C12" s="3" t="s">
        <v>59</v>
      </c>
      <c r="D12" s="3" t="s">
        <v>60</v>
      </c>
      <c r="E12" s="4" t="s">
        <v>10</v>
      </c>
      <c r="F12" s="3" t="s">
        <v>61</v>
      </c>
    </row>
    <row r="13" spans="1:6" ht="30" customHeight="1" x14ac:dyDescent="0.3">
      <c r="A13" s="2" t="s">
        <v>62</v>
      </c>
      <c r="B13" s="3" t="s">
        <v>63</v>
      </c>
      <c r="C13" s="3" t="s">
        <v>64</v>
      </c>
      <c r="D13" s="3" t="s">
        <v>65</v>
      </c>
      <c r="E13" s="4" t="s">
        <v>10</v>
      </c>
      <c r="F13" s="3" t="s">
        <v>66</v>
      </c>
    </row>
    <row r="14" spans="1:6" ht="30" customHeight="1" x14ac:dyDescent="0.3">
      <c r="A14" s="2" t="s">
        <v>67</v>
      </c>
      <c r="B14" s="3" t="s">
        <v>68</v>
      </c>
      <c r="C14" s="3" t="s">
        <v>69</v>
      </c>
      <c r="D14" s="3" t="s">
        <v>70</v>
      </c>
      <c r="E14" s="4" t="s">
        <v>10</v>
      </c>
      <c r="F14" s="3" t="s">
        <v>71</v>
      </c>
    </row>
    <row r="15" spans="1:6" ht="30" customHeight="1" x14ac:dyDescent="0.3">
      <c r="A15" s="2" t="s">
        <v>72</v>
      </c>
      <c r="B15" s="3" t="s">
        <v>73</v>
      </c>
      <c r="C15" s="3" t="s">
        <v>74</v>
      </c>
      <c r="D15" s="3" t="s">
        <v>75</v>
      </c>
      <c r="E15" s="4" t="s">
        <v>10</v>
      </c>
      <c r="F15" s="3" t="s">
        <v>76</v>
      </c>
    </row>
    <row r="16" spans="1:6" ht="30" customHeight="1" x14ac:dyDescent="0.3">
      <c r="A16" s="2" t="s">
        <v>77</v>
      </c>
      <c r="B16" s="3" t="s">
        <v>78</v>
      </c>
      <c r="C16" s="3" t="s">
        <v>79</v>
      </c>
      <c r="D16" s="3" t="s">
        <v>80</v>
      </c>
      <c r="E16" s="4" t="s">
        <v>10</v>
      </c>
      <c r="F16" s="3" t="s">
        <v>81</v>
      </c>
    </row>
    <row r="17" spans="1:6" ht="30" customHeight="1" x14ac:dyDescent="0.3">
      <c r="A17" s="2" t="s">
        <v>82</v>
      </c>
      <c r="B17" s="3" t="s">
        <v>83</v>
      </c>
      <c r="C17" s="3" t="s">
        <v>84</v>
      </c>
      <c r="D17" s="3" t="s">
        <v>85</v>
      </c>
      <c r="E17" s="5" t="s">
        <v>40</v>
      </c>
      <c r="F17" s="3" t="s">
        <v>86</v>
      </c>
    </row>
    <row r="18" spans="1:6" ht="43.5" customHeight="1" x14ac:dyDescent="0.3">
      <c r="A18" s="2" t="s">
        <v>87</v>
      </c>
      <c r="B18" s="3" t="s">
        <v>88</v>
      </c>
      <c r="C18" s="3" t="s">
        <v>89</v>
      </c>
      <c r="D18" s="3" t="s">
        <v>90</v>
      </c>
      <c r="E18" s="5" t="s">
        <v>40</v>
      </c>
      <c r="F18" s="3" t="s">
        <v>91</v>
      </c>
    </row>
    <row r="19" spans="1:6" ht="43.5" customHeight="1" x14ac:dyDescent="0.3">
      <c r="A19" s="2" t="s">
        <v>92</v>
      </c>
      <c r="B19" s="3" t="s">
        <v>93</v>
      </c>
      <c r="C19" s="3" t="s">
        <v>94</v>
      </c>
      <c r="D19" s="3" t="s">
        <v>95</v>
      </c>
      <c r="E19" s="5" t="s">
        <v>40</v>
      </c>
      <c r="F19" s="3" t="s">
        <v>96</v>
      </c>
    </row>
    <row r="20" spans="1:6" ht="43.5" customHeight="1" x14ac:dyDescent="0.3">
      <c r="A20" s="2" t="s">
        <v>97</v>
      </c>
      <c r="B20" s="3" t="s">
        <v>98</v>
      </c>
      <c r="C20" s="3" t="s">
        <v>99</v>
      </c>
      <c r="D20" s="3" t="s">
        <v>100</v>
      </c>
      <c r="E20" s="4" t="s">
        <v>10</v>
      </c>
      <c r="F20" s="3" t="s">
        <v>101</v>
      </c>
    </row>
    <row r="22" spans="1:6" x14ac:dyDescent="0.3">
      <c r="A22" s="6" t="s">
        <v>102</v>
      </c>
    </row>
    <row r="23" spans="1:6" x14ac:dyDescent="0.3">
      <c r="A23" s="3" t="s">
        <v>103</v>
      </c>
      <c r="B23" s="7">
        <f>COUNTA(A2:A20)</f>
        <v>19</v>
      </c>
    </row>
    <row r="24" spans="1:6" ht="26.4" x14ac:dyDescent="0.3">
      <c r="A24" s="3" t="s">
        <v>104</v>
      </c>
      <c r="B24" s="7">
        <f>COUNTIF(E2:E20,"+")</f>
        <v>15</v>
      </c>
    </row>
    <row r="25" spans="1:6" x14ac:dyDescent="0.3">
      <c r="A25" s="3" t="s">
        <v>105</v>
      </c>
      <c r="B25" s="7">
        <f>COUNTIF(E2:E20,"−")</f>
        <v>4</v>
      </c>
    </row>
    <row r="26" spans="1:6" x14ac:dyDescent="0.3">
      <c r="A26" s="3" t="s">
        <v>106</v>
      </c>
      <c r="B26" s="8">
        <f>B24/B23</f>
        <v>0.78947368421052633</v>
      </c>
    </row>
    <row r="28" spans="1:6" x14ac:dyDescent="0.3">
      <c r="A28" s="6"/>
    </row>
    <row r="29" spans="1:6" x14ac:dyDescent="0.3">
      <c r="A29" s="9"/>
    </row>
    <row r="30" spans="1:6" x14ac:dyDescent="0.3">
      <c r="A30" s="9"/>
    </row>
    <row r="31" spans="1:6" x14ac:dyDescent="0.3">
      <c r="A31" s="9"/>
    </row>
    <row r="32" spans="1:6" x14ac:dyDescent="0.3">
      <c r="A32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1"/>
  <sheetViews>
    <sheetView zoomScaleNormal="100" workbookViewId="0">
      <pane xSplit="1" topLeftCell="B1" activePane="topRight" state="frozen"/>
      <selection pane="topRight"/>
    </sheetView>
  </sheetViews>
  <sheetFormatPr defaultColWidth="8.6640625" defaultRowHeight="14.4" x14ac:dyDescent="0.3"/>
  <cols>
    <col min="1" max="1" width="58" customWidth="1"/>
    <col min="2" max="20" width="5.21875" customWidth="1"/>
  </cols>
  <sheetData>
    <row r="1" spans="1:20" x14ac:dyDescent="0.3">
      <c r="A1" s="10" t="s">
        <v>107</v>
      </c>
      <c r="B1" s="1" t="s">
        <v>6</v>
      </c>
      <c r="C1" s="1" t="s">
        <v>12</v>
      </c>
      <c r="D1" s="1" t="s">
        <v>17</v>
      </c>
      <c r="E1" s="1" t="s">
        <v>22</v>
      </c>
      <c r="F1" s="1" t="s">
        <v>27</v>
      </c>
      <c r="G1" s="1" t="s">
        <v>32</v>
      </c>
      <c r="H1" s="1" t="s">
        <v>37</v>
      </c>
      <c r="I1" s="1" t="s">
        <v>42</v>
      </c>
      <c r="J1" s="1" t="s">
        <v>47</v>
      </c>
      <c r="K1" s="1" t="s">
        <v>52</v>
      </c>
      <c r="L1" s="1" t="s">
        <v>57</v>
      </c>
      <c r="M1" s="1" t="s">
        <v>62</v>
      </c>
      <c r="N1" s="1" t="s">
        <v>67</v>
      </c>
      <c r="O1" s="1" t="s">
        <v>72</v>
      </c>
      <c r="P1" s="1" t="s">
        <v>77</v>
      </c>
      <c r="Q1" s="1" t="s">
        <v>82</v>
      </c>
      <c r="R1" s="1" t="s">
        <v>87</v>
      </c>
      <c r="S1" s="1" t="s">
        <v>92</v>
      </c>
      <c r="T1" s="1" t="s">
        <v>97</v>
      </c>
    </row>
    <row r="2" spans="1:20" x14ac:dyDescent="0.3">
      <c r="A2" s="11" t="s">
        <v>108</v>
      </c>
      <c r="B2" s="12" t="s">
        <v>10</v>
      </c>
      <c r="C2" s="12" t="s">
        <v>10</v>
      </c>
      <c r="D2" s="12" t="s">
        <v>10</v>
      </c>
      <c r="E2" s="12" t="s">
        <v>10</v>
      </c>
      <c r="F2" s="12" t="s">
        <v>10</v>
      </c>
      <c r="G2" s="12" t="s">
        <v>10</v>
      </c>
      <c r="H2" s="12" t="s">
        <v>10</v>
      </c>
      <c r="I2" s="12" t="s">
        <v>10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3">
      <c r="A3" s="11" t="s">
        <v>109</v>
      </c>
      <c r="B3" s="12" t="s">
        <v>10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3">
      <c r="A4" s="11" t="s">
        <v>110</v>
      </c>
      <c r="B4" s="12"/>
      <c r="C4" s="12" t="s">
        <v>10</v>
      </c>
      <c r="D4" s="12"/>
      <c r="E4" s="12" t="s">
        <v>10</v>
      </c>
      <c r="F4" s="12" t="s">
        <v>10</v>
      </c>
      <c r="G4" s="12" t="s">
        <v>10</v>
      </c>
      <c r="H4" s="12" t="s">
        <v>10</v>
      </c>
      <c r="I4" s="12" t="s">
        <v>10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3">
      <c r="A5" s="11" t="s">
        <v>111</v>
      </c>
      <c r="B5" s="12"/>
      <c r="C5" s="12"/>
      <c r="D5" s="12" t="s">
        <v>10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x14ac:dyDescent="0.3">
      <c r="A6" s="11" t="s">
        <v>112</v>
      </c>
      <c r="B6" s="12"/>
      <c r="C6" s="12"/>
      <c r="D6" s="12"/>
      <c r="E6" s="12"/>
      <c r="F6" s="12"/>
      <c r="G6" s="12"/>
      <c r="H6" s="12"/>
      <c r="I6" s="12"/>
      <c r="J6" s="12" t="s">
        <v>10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x14ac:dyDescent="0.3">
      <c r="A7" s="11" t="s">
        <v>113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 t="s">
        <v>10</v>
      </c>
      <c r="R7" s="12"/>
      <c r="S7" s="12"/>
      <c r="T7" s="12"/>
    </row>
    <row r="8" spans="1:20" x14ac:dyDescent="0.3">
      <c r="A8" s="11" t="s">
        <v>114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10</v>
      </c>
      <c r="Q8" s="12"/>
      <c r="R8" s="12"/>
      <c r="S8" s="12"/>
      <c r="T8" s="12"/>
    </row>
    <row r="9" spans="1:20" x14ac:dyDescent="0.3">
      <c r="A9" s="11" t="s">
        <v>115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 t="s">
        <v>10</v>
      </c>
      <c r="M9" s="12"/>
      <c r="N9" s="12"/>
      <c r="O9" s="12"/>
      <c r="P9" s="12"/>
      <c r="Q9" s="12"/>
      <c r="R9" s="12"/>
      <c r="S9" s="12"/>
      <c r="T9" s="12"/>
    </row>
    <row r="10" spans="1:20" x14ac:dyDescent="0.3">
      <c r="A10" s="11" t="s">
        <v>116</v>
      </c>
      <c r="B10" s="12"/>
      <c r="C10" s="12"/>
      <c r="D10" s="12"/>
      <c r="E10" s="12"/>
      <c r="F10" s="12"/>
      <c r="G10" s="12"/>
      <c r="H10" s="12"/>
      <c r="I10" s="12"/>
      <c r="J10" s="12"/>
      <c r="K10" s="12" t="s">
        <v>10</v>
      </c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3">
      <c r="A11" s="11" t="s">
        <v>117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 t="s">
        <v>10</v>
      </c>
      <c r="N11" s="12"/>
      <c r="O11" s="12"/>
      <c r="P11" s="12"/>
      <c r="Q11" s="12"/>
      <c r="R11" s="12"/>
      <c r="S11" s="12"/>
      <c r="T11" s="12"/>
    </row>
    <row r="12" spans="1:20" x14ac:dyDescent="0.3">
      <c r="A12" s="11" t="s">
        <v>118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s">
        <v>10</v>
      </c>
      <c r="O12" s="12"/>
      <c r="P12" s="12"/>
      <c r="Q12" s="12"/>
      <c r="R12" s="12"/>
      <c r="S12" s="12"/>
      <c r="T12" s="12"/>
    </row>
    <row r="13" spans="1:20" x14ac:dyDescent="0.3">
      <c r="A13" s="11" t="s">
        <v>119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 t="s">
        <v>10</v>
      </c>
      <c r="P13" s="12"/>
      <c r="Q13" s="12"/>
      <c r="R13" s="12"/>
      <c r="S13" s="12"/>
      <c r="T13" s="12"/>
    </row>
    <row r="14" spans="1:20" x14ac:dyDescent="0.3">
      <c r="A14" s="11" t="s">
        <v>120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 t="s">
        <v>10</v>
      </c>
      <c r="S14" s="12"/>
      <c r="T14" s="12"/>
    </row>
    <row r="15" spans="1:20" x14ac:dyDescent="0.3">
      <c r="A15" s="11" t="s">
        <v>121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 t="s">
        <v>10</v>
      </c>
      <c r="T15" s="12"/>
    </row>
    <row r="16" spans="1:20" x14ac:dyDescent="0.3">
      <c r="A16" s="11" t="s">
        <v>122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 t="s">
        <v>10</v>
      </c>
    </row>
    <row r="18" spans="1:20" x14ac:dyDescent="0.3">
      <c r="A18" s="10" t="s">
        <v>123</v>
      </c>
      <c r="B18" s="1" t="s">
        <v>6</v>
      </c>
      <c r="C18" s="1" t="s">
        <v>12</v>
      </c>
      <c r="D18" s="1" t="s">
        <v>17</v>
      </c>
      <c r="E18" s="1" t="s">
        <v>22</v>
      </c>
      <c r="F18" s="1" t="s">
        <v>27</v>
      </c>
      <c r="G18" s="1" t="s">
        <v>32</v>
      </c>
      <c r="H18" s="1" t="s">
        <v>37</v>
      </c>
      <c r="I18" s="1" t="s">
        <v>42</v>
      </c>
      <c r="J18" s="1" t="s">
        <v>47</v>
      </c>
      <c r="K18" s="1" t="s">
        <v>52</v>
      </c>
      <c r="L18" s="1" t="s">
        <v>57</v>
      </c>
      <c r="M18" s="1" t="s">
        <v>62</v>
      </c>
      <c r="N18" s="1" t="s">
        <v>67</v>
      </c>
      <c r="O18" s="1" t="s">
        <v>72</v>
      </c>
      <c r="P18" s="1" t="s">
        <v>77</v>
      </c>
      <c r="Q18" s="1" t="s">
        <v>82</v>
      </c>
      <c r="R18" s="1" t="s">
        <v>87</v>
      </c>
      <c r="S18" s="1" t="s">
        <v>92</v>
      </c>
      <c r="T18" s="1" t="s">
        <v>97</v>
      </c>
    </row>
    <row r="19" spans="1:20" x14ac:dyDescent="0.3">
      <c r="A19" s="11" t="s">
        <v>124</v>
      </c>
      <c r="B19" s="12" t="s">
        <v>10</v>
      </c>
      <c r="C19" s="12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2" t="s">
        <v>10</v>
      </c>
      <c r="I19" s="12" t="s">
        <v>10</v>
      </c>
      <c r="J19" s="12"/>
      <c r="K19" s="12" t="s">
        <v>10</v>
      </c>
      <c r="L19" s="12" t="s">
        <v>10</v>
      </c>
      <c r="M19" s="12" t="s">
        <v>10</v>
      </c>
      <c r="N19" s="12" t="s">
        <v>10</v>
      </c>
      <c r="O19" s="12"/>
      <c r="P19" s="12"/>
      <c r="Q19" s="12"/>
      <c r="R19" s="12"/>
      <c r="S19" s="12"/>
      <c r="T19" s="12"/>
    </row>
    <row r="20" spans="1:20" x14ac:dyDescent="0.3">
      <c r="A20" s="11" t="s">
        <v>125</v>
      </c>
      <c r="B20" s="12"/>
      <c r="C20" s="12"/>
      <c r="D20" s="12"/>
      <c r="E20" s="12"/>
      <c r="F20" s="12"/>
      <c r="G20" s="12"/>
      <c r="H20" s="12"/>
      <c r="I20" s="12"/>
      <c r="J20" s="12" t="s">
        <v>10</v>
      </c>
      <c r="K20" s="12"/>
      <c r="L20" s="12"/>
      <c r="M20" s="12"/>
      <c r="N20" s="12"/>
      <c r="O20" s="12" t="s">
        <v>10</v>
      </c>
      <c r="P20" s="12"/>
      <c r="Q20" s="12"/>
      <c r="R20" s="12" t="s">
        <v>10</v>
      </c>
      <c r="S20" s="12"/>
      <c r="T20" s="12"/>
    </row>
    <row r="21" spans="1:20" x14ac:dyDescent="0.3">
      <c r="A21" s="11" t="s">
        <v>126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 t="s">
        <v>10</v>
      </c>
      <c r="Q21" s="12"/>
      <c r="R21" s="12"/>
      <c r="S21" s="12"/>
      <c r="T21" s="12"/>
    </row>
    <row r="22" spans="1:20" x14ac:dyDescent="0.3">
      <c r="A22" s="11" t="s">
        <v>127</v>
      </c>
      <c r="B22" s="12" t="s">
        <v>10</v>
      </c>
      <c r="C22" s="12" t="s">
        <v>10</v>
      </c>
      <c r="D22" s="12"/>
      <c r="E22" s="12"/>
      <c r="F22" s="12" t="s">
        <v>10</v>
      </c>
      <c r="G22" s="12"/>
      <c r="H22" s="12"/>
      <c r="I22" s="12"/>
      <c r="J22" s="12"/>
      <c r="K22" s="12"/>
      <c r="L22" s="12"/>
      <c r="M22" s="12"/>
      <c r="N22" s="12"/>
      <c r="O22" s="12" t="s">
        <v>10</v>
      </c>
      <c r="P22" s="12"/>
      <c r="Q22" s="12"/>
      <c r="R22" s="12"/>
      <c r="S22" s="12"/>
      <c r="T22" s="12"/>
    </row>
    <row r="23" spans="1:20" x14ac:dyDescent="0.3">
      <c r="A23" s="11" t="s">
        <v>128</v>
      </c>
      <c r="B23" s="12"/>
      <c r="C23" s="12"/>
      <c r="D23" s="12" t="s">
        <v>10</v>
      </c>
      <c r="E23" s="12"/>
      <c r="F23" s="12"/>
      <c r="G23" s="12"/>
      <c r="H23" s="12"/>
      <c r="I23" s="12"/>
      <c r="J23" s="12"/>
      <c r="K23" s="12" t="s">
        <v>10</v>
      </c>
      <c r="L23" s="12" t="s">
        <v>10</v>
      </c>
      <c r="M23" s="12"/>
      <c r="N23" s="12"/>
      <c r="O23" s="12"/>
      <c r="P23" s="12"/>
      <c r="Q23" s="12"/>
      <c r="R23" s="12"/>
      <c r="S23" s="12"/>
      <c r="T23" s="12"/>
    </row>
    <row r="24" spans="1:20" x14ac:dyDescent="0.3">
      <c r="A24" s="11" t="s">
        <v>129</v>
      </c>
      <c r="B24" s="12" t="s">
        <v>10</v>
      </c>
      <c r="C24" s="12"/>
      <c r="D24" s="12" t="s">
        <v>10</v>
      </c>
      <c r="E24" s="12"/>
      <c r="F24" s="12"/>
      <c r="G24" s="12"/>
      <c r="H24" s="12"/>
      <c r="I24" s="12"/>
      <c r="J24" s="12" t="s">
        <v>10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3">
      <c r="A25" s="11" t="s">
        <v>130</v>
      </c>
      <c r="B25" s="12"/>
      <c r="C25" s="12" t="s">
        <v>10</v>
      </c>
      <c r="D25" s="12"/>
      <c r="E25" s="12"/>
      <c r="F25" s="12"/>
      <c r="G25" s="12" t="s">
        <v>10</v>
      </c>
      <c r="H25" s="12" t="s">
        <v>10</v>
      </c>
      <c r="I25" s="12"/>
      <c r="J25" s="12"/>
      <c r="K25" s="12"/>
      <c r="L25" s="12"/>
      <c r="M25" s="12" t="s">
        <v>10</v>
      </c>
      <c r="N25" s="12"/>
      <c r="O25" s="12"/>
      <c r="P25" s="12"/>
      <c r="Q25" s="12"/>
      <c r="R25" s="12"/>
      <c r="S25" s="12"/>
      <c r="T25" s="12"/>
    </row>
    <row r="26" spans="1:20" x14ac:dyDescent="0.3">
      <c r="A26" s="11" t="s">
        <v>131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 t="s">
        <v>10</v>
      </c>
      <c r="P26" s="12"/>
      <c r="Q26" s="12"/>
      <c r="R26" s="12" t="s">
        <v>10</v>
      </c>
      <c r="S26" s="12"/>
      <c r="T26" s="12"/>
    </row>
    <row r="27" spans="1:20" x14ac:dyDescent="0.3">
      <c r="A27" s="11" t="s">
        <v>132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10</v>
      </c>
      <c r="O27" s="12"/>
      <c r="P27" s="12"/>
      <c r="Q27" s="12"/>
      <c r="R27" s="12"/>
      <c r="S27" s="12"/>
      <c r="T27" s="12"/>
    </row>
    <row r="28" spans="1:20" x14ac:dyDescent="0.3">
      <c r="A28" s="11" t="s">
        <v>133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 t="s">
        <v>10</v>
      </c>
      <c r="R28" s="12"/>
      <c r="S28" s="12"/>
      <c r="T28" s="12"/>
    </row>
    <row r="29" spans="1:20" x14ac:dyDescent="0.3">
      <c r="A29" s="11" t="s">
        <v>134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 t="s">
        <v>10</v>
      </c>
      <c r="T29" s="12"/>
    </row>
    <row r="30" spans="1:20" x14ac:dyDescent="0.3">
      <c r="A30" s="11" t="s">
        <v>135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 t="s">
        <v>10</v>
      </c>
    </row>
    <row r="31" spans="1:20" x14ac:dyDescent="0.3">
      <c r="A31" s="11" t="s">
        <v>136</v>
      </c>
      <c r="B31" s="12"/>
      <c r="C31" s="12"/>
      <c r="D31" s="12"/>
      <c r="E31" s="12" t="s">
        <v>10</v>
      </c>
      <c r="F31" s="12"/>
      <c r="G31" s="12"/>
      <c r="H31" s="12"/>
      <c r="I31" s="12" t="s">
        <v>10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0"/>
  <sheetViews>
    <sheetView zoomScaleNormal="100" workbookViewId="0">
      <pane xSplit="1" topLeftCell="B1" activePane="topRight" state="frozen"/>
      <selection pane="topRight"/>
    </sheetView>
  </sheetViews>
  <sheetFormatPr defaultColWidth="8.6640625" defaultRowHeight="14.4" x14ac:dyDescent="0.3"/>
  <cols>
    <col min="1" max="1" width="58" customWidth="1"/>
    <col min="2" max="20" width="5.21875" customWidth="1"/>
  </cols>
  <sheetData>
    <row r="1" spans="1:20" x14ac:dyDescent="0.3">
      <c r="A1" s="10" t="s">
        <v>137</v>
      </c>
      <c r="B1" s="1" t="s">
        <v>6</v>
      </c>
      <c r="C1" s="1" t="s">
        <v>12</v>
      </c>
      <c r="D1" s="1" t="s">
        <v>17</v>
      </c>
      <c r="E1" s="1" t="s">
        <v>22</v>
      </c>
      <c r="F1" s="1" t="s">
        <v>27</v>
      </c>
      <c r="G1" s="1" t="s">
        <v>32</v>
      </c>
      <c r="H1" s="1" t="s">
        <v>37</v>
      </c>
      <c r="I1" s="1" t="s">
        <v>42</v>
      </c>
      <c r="J1" s="1" t="s">
        <v>47</v>
      </c>
      <c r="K1" s="1" t="s">
        <v>52</v>
      </c>
      <c r="L1" s="1" t="s">
        <v>57</v>
      </c>
      <c r="M1" s="1" t="s">
        <v>62</v>
      </c>
      <c r="N1" s="1" t="s">
        <v>67</v>
      </c>
      <c r="O1" s="1" t="s">
        <v>72</v>
      </c>
      <c r="P1" s="1" t="s">
        <v>77</v>
      </c>
      <c r="Q1" s="1" t="s">
        <v>82</v>
      </c>
      <c r="R1" s="1" t="s">
        <v>87</v>
      </c>
      <c r="S1" s="1" t="s">
        <v>92</v>
      </c>
      <c r="T1" s="1" t="s">
        <v>97</v>
      </c>
    </row>
    <row r="2" spans="1:20" x14ac:dyDescent="0.3">
      <c r="A2" s="11" t="s">
        <v>138</v>
      </c>
      <c r="B2" s="12" t="s">
        <v>10</v>
      </c>
      <c r="C2" s="12" t="s">
        <v>10</v>
      </c>
      <c r="D2" s="12" t="s">
        <v>10</v>
      </c>
      <c r="E2" s="12" t="s">
        <v>10</v>
      </c>
      <c r="F2" s="12" t="s">
        <v>10</v>
      </c>
      <c r="G2" s="12" t="s">
        <v>10</v>
      </c>
      <c r="H2" s="12" t="s">
        <v>10</v>
      </c>
      <c r="I2" s="12" t="s">
        <v>10</v>
      </c>
      <c r="J2" s="12" t="s">
        <v>10</v>
      </c>
      <c r="K2" s="12" t="s">
        <v>10</v>
      </c>
      <c r="L2" s="12" t="s">
        <v>10</v>
      </c>
      <c r="M2" s="12" t="s">
        <v>10</v>
      </c>
      <c r="N2" s="12" t="s">
        <v>10</v>
      </c>
      <c r="O2" s="12" t="s">
        <v>10</v>
      </c>
      <c r="P2" s="12"/>
      <c r="Q2" s="12" t="s">
        <v>10</v>
      </c>
      <c r="R2" s="12" t="s">
        <v>10</v>
      </c>
      <c r="S2" s="12" t="s">
        <v>10</v>
      </c>
      <c r="T2" s="12"/>
    </row>
    <row r="3" spans="1:20" x14ac:dyDescent="0.3">
      <c r="A3" s="11" t="s">
        <v>139</v>
      </c>
      <c r="B3" s="12" t="s">
        <v>10</v>
      </c>
      <c r="C3" s="12" t="s">
        <v>10</v>
      </c>
      <c r="D3" s="12" t="s">
        <v>10</v>
      </c>
      <c r="E3" s="12" t="s">
        <v>10</v>
      </c>
      <c r="F3" s="12" t="s">
        <v>10</v>
      </c>
      <c r="G3" s="12" t="s">
        <v>10</v>
      </c>
      <c r="H3" s="12" t="s">
        <v>10</v>
      </c>
      <c r="I3" s="12" t="s">
        <v>10</v>
      </c>
      <c r="J3" s="12" t="s">
        <v>10</v>
      </c>
      <c r="K3" s="12" t="s">
        <v>10</v>
      </c>
      <c r="L3" s="12" t="s">
        <v>10</v>
      </c>
      <c r="M3" s="12" t="s">
        <v>10</v>
      </c>
      <c r="N3" s="12" t="s">
        <v>10</v>
      </c>
      <c r="O3" s="12" t="s">
        <v>10</v>
      </c>
      <c r="P3" s="12" t="s">
        <v>10</v>
      </c>
      <c r="Q3" s="12" t="s">
        <v>10</v>
      </c>
      <c r="R3" s="12" t="s">
        <v>10</v>
      </c>
      <c r="S3" s="12"/>
      <c r="T3" s="12"/>
    </row>
    <row r="4" spans="1:20" x14ac:dyDescent="0.3">
      <c r="A4" s="11" t="s">
        <v>140</v>
      </c>
      <c r="B4" s="12" t="s">
        <v>10</v>
      </c>
      <c r="C4" s="12" t="s">
        <v>10</v>
      </c>
      <c r="D4" s="12" t="s">
        <v>10</v>
      </c>
      <c r="E4" s="12" t="s">
        <v>10</v>
      </c>
      <c r="F4" s="12" t="s">
        <v>10</v>
      </c>
      <c r="G4" s="12" t="s">
        <v>10</v>
      </c>
      <c r="H4" s="12" t="s">
        <v>10</v>
      </c>
      <c r="I4" s="12" t="s">
        <v>10</v>
      </c>
      <c r="J4" s="12" t="s">
        <v>10</v>
      </c>
      <c r="K4" s="12" t="s">
        <v>10</v>
      </c>
      <c r="L4" s="12"/>
      <c r="M4" s="12" t="s">
        <v>10</v>
      </c>
      <c r="N4" s="12" t="s">
        <v>10</v>
      </c>
      <c r="O4" s="12" t="s">
        <v>10</v>
      </c>
      <c r="P4" s="12"/>
      <c r="Q4" s="12" t="s">
        <v>10</v>
      </c>
      <c r="R4" s="12" t="s">
        <v>10</v>
      </c>
      <c r="S4" s="12" t="s">
        <v>10</v>
      </c>
      <c r="T4" s="12"/>
    </row>
    <row r="5" spans="1:20" x14ac:dyDescent="0.3">
      <c r="A5" s="11" t="s">
        <v>141</v>
      </c>
      <c r="B5" s="12" t="s">
        <v>10</v>
      </c>
      <c r="C5" s="12" t="s">
        <v>10</v>
      </c>
      <c r="D5" s="12" t="s">
        <v>10</v>
      </c>
      <c r="E5" s="12" t="s">
        <v>10</v>
      </c>
      <c r="F5" s="12" t="s">
        <v>10</v>
      </c>
      <c r="G5" s="12" t="s">
        <v>10</v>
      </c>
      <c r="H5" s="12" t="s">
        <v>10</v>
      </c>
      <c r="I5" s="12" t="s">
        <v>10</v>
      </c>
      <c r="J5" s="12" t="s">
        <v>10</v>
      </c>
      <c r="K5" s="12" t="s">
        <v>10</v>
      </c>
      <c r="L5" s="12" t="s">
        <v>10</v>
      </c>
      <c r="M5" s="12" t="s">
        <v>10</v>
      </c>
      <c r="N5" s="12" t="s">
        <v>10</v>
      </c>
      <c r="O5" s="12" t="s">
        <v>10</v>
      </c>
      <c r="P5" s="12"/>
      <c r="Q5" s="12" t="s">
        <v>10</v>
      </c>
      <c r="R5" s="12" t="s">
        <v>10</v>
      </c>
      <c r="S5" s="12" t="s">
        <v>10</v>
      </c>
      <c r="T5" s="12"/>
    </row>
    <row r="6" spans="1:20" x14ac:dyDescent="0.3">
      <c r="A6" s="11" t="s">
        <v>142</v>
      </c>
      <c r="B6" s="12" t="s">
        <v>10</v>
      </c>
      <c r="C6" s="12" t="s">
        <v>10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12" t="s">
        <v>10</v>
      </c>
      <c r="J6" s="12" t="s">
        <v>10</v>
      </c>
      <c r="K6" s="12" t="s">
        <v>10</v>
      </c>
      <c r="L6" s="12" t="s">
        <v>10</v>
      </c>
      <c r="M6" s="12" t="s">
        <v>10</v>
      </c>
      <c r="N6" s="12" t="s">
        <v>10</v>
      </c>
      <c r="O6" s="12"/>
      <c r="P6" s="12"/>
      <c r="Q6" s="12"/>
      <c r="R6" s="12"/>
      <c r="S6" s="12" t="s">
        <v>10</v>
      </c>
      <c r="T6" s="12"/>
    </row>
    <row r="7" spans="1:20" x14ac:dyDescent="0.3">
      <c r="A7" s="11" t="s">
        <v>143</v>
      </c>
      <c r="B7" s="12" t="s">
        <v>10</v>
      </c>
      <c r="C7" s="12" t="s">
        <v>10</v>
      </c>
      <c r="D7" s="12" t="s">
        <v>10</v>
      </c>
      <c r="E7" s="12" t="s">
        <v>10</v>
      </c>
      <c r="F7" s="12" t="s">
        <v>10</v>
      </c>
      <c r="G7" s="12" t="s">
        <v>10</v>
      </c>
      <c r="H7" s="12" t="s">
        <v>10</v>
      </c>
      <c r="I7" s="12" t="s">
        <v>10</v>
      </c>
      <c r="J7" s="12" t="s">
        <v>10</v>
      </c>
      <c r="K7" s="12" t="s">
        <v>10</v>
      </c>
      <c r="L7" s="12" t="s">
        <v>10</v>
      </c>
      <c r="M7" s="12" t="s">
        <v>10</v>
      </c>
      <c r="N7" s="12" t="s">
        <v>10</v>
      </c>
      <c r="O7" s="12" t="s">
        <v>10</v>
      </c>
      <c r="P7" s="12"/>
      <c r="Q7" s="12" t="s">
        <v>10</v>
      </c>
      <c r="R7" s="12" t="s">
        <v>10</v>
      </c>
      <c r="S7" s="12"/>
      <c r="T7" s="12"/>
    </row>
    <row r="8" spans="1:20" x14ac:dyDescent="0.3">
      <c r="A8" s="11" t="s">
        <v>144</v>
      </c>
      <c r="B8" s="12" t="s">
        <v>10</v>
      </c>
      <c r="C8" s="12" t="s">
        <v>10</v>
      </c>
      <c r="D8" s="12" t="s">
        <v>10</v>
      </c>
      <c r="E8" s="12" t="s">
        <v>10</v>
      </c>
      <c r="F8" s="12" t="s">
        <v>10</v>
      </c>
      <c r="G8" s="12" t="s">
        <v>10</v>
      </c>
      <c r="H8" s="12" t="s">
        <v>10</v>
      </c>
      <c r="I8" s="12" t="s">
        <v>10</v>
      </c>
      <c r="J8" s="12" t="s">
        <v>10</v>
      </c>
      <c r="K8" s="12" t="s">
        <v>10</v>
      </c>
      <c r="L8" s="12"/>
      <c r="M8" s="12" t="s">
        <v>10</v>
      </c>
      <c r="N8" s="12" t="s">
        <v>10</v>
      </c>
      <c r="O8" s="12" t="s">
        <v>10</v>
      </c>
      <c r="P8" s="12"/>
      <c r="Q8" s="12" t="s">
        <v>10</v>
      </c>
      <c r="R8" s="12" t="s">
        <v>10</v>
      </c>
      <c r="S8" s="12" t="s">
        <v>10</v>
      </c>
      <c r="T8" s="12"/>
    </row>
    <row r="9" spans="1:20" x14ac:dyDescent="0.3">
      <c r="A9" s="11" t="s">
        <v>145</v>
      </c>
      <c r="B9" s="12" t="s">
        <v>10</v>
      </c>
      <c r="C9" s="12" t="s">
        <v>10</v>
      </c>
      <c r="D9" s="12" t="s">
        <v>10</v>
      </c>
      <c r="E9" s="12" t="s">
        <v>10</v>
      </c>
      <c r="F9" s="12" t="s">
        <v>10</v>
      </c>
      <c r="G9" s="12" t="s">
        <v>10</v>
      </c>
      <c r="H9" s="12" t="s">
        <v>10</v>
      </c>
      <c r="I9" s="12" t="s">
        <v>10</v>
      </c>
      <c r="J9" s="12" t="s">
        <v>10</v>
      </c>
      <c r="K9" s="12" t="s">
        <v>10</v>
      </c>
      <c r="L9" s="12" t="s">
        <v>10</v>
      </c>
      <c r="M9" s="12" t="s">
        <v>10</v>
      </c>
      <c r="N9" s="12" t="s">
        <v>10</v>
      </c>
      <c r="O9" s="12"/>
      <c r="P9" s="12"/>
      <c r="Q9" s="12"/>
      <c r="R9" s="12"/>
      <c r="S9" s="12" t="s">
        <v>10</v>
      </c>
      <c r="T9" s="12"/>
    </row>
    <row r="10" spans="1:20" x14ac:dyDescent="0.3">
      <c r="A10" s="11" t="s">
        <v>146</v>
      </c>
      <c r="B10" s="12" t="s">
        <v>10</v>
      </c>
      <c r="C10" s="12" t="s">
        <v>10</v>
      </c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/>
      <c r="Q10" s="12" t="s">
        <v>10</v>
      </c>
      <c r="R10" s="12" t="s">
        <v>10</v>
      </c>
      <c r="S10" s="12"/>
      <c r="T10" s="12" t="s">
        <v>10</v>
      </c>
    </row>
    <row r="11" spans="1:20" x14ac:dyDescent="0.3">
      <c r="A11" s="11" t="s">
        <v>147</v>
      </c>
      <c r="B11" s="12" t="s">
        <v>10</v>
      </c>
      <c r="C11" s="12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  <c r="J11" s="12" t="s">
        <v>10</v>
      </c>
      <c r="K11" s="12" t="s">
        <v>10</v>
      </c>
      <c r="L11" s="12" t="s">
        <v>10</v>
      </c>
      <c r="M11" s="12" t="s">
        <v>10</v>
      </c>
      <c r="N11" s="12" t="s">
        <v>10</v>
      </c>
      <c r="O11" s="12" t="s">
        <v>10</v>
      </c>
      <c r="P11" s="12" t="s">
        <v>10</v>
      </c>
      <c r="Q11" s="12" t="s">
        <v>10</v>
      </c>
      <c r="R11" s="12" t="s">
        <v>10</v>
      </c>
      <c r="S11" s="12" t="s">
        <v>10</v>
      </c>
      <c r="T11" s="12"/>
    </row>
    <row r="12" spans="1:20" x14ac:dyDescent="0.3">
      <c r="A12" s="11" t="s">
        <v>148</v>
      </c>
      <c r="B12" s="12" t="s">
        <v>10</v>
      </c>
      <c r="C12" s="12" t="s">
        <v>10</v>
      </c>
      <c r="D12" s="12" t="s">
        <v>10</v>
      </c>
      <c r="E12" s="12" t="s">
        <v>10</v>
      </c>
      <c r="F12" s="12" t="s">
        <v>10</v>
      </c>
      <c r="G12" s="12" t="s">
        <v>10</v>
      </c>
      <c r="H12" s="12" t="s">
        <v>10</v>
      </c>
      <c r="I12" s="12" t="s">
        <v>10</v>
      </c>
      <c r="J12" s="12" t="s">
        <v>10</v>
      </c>
      <c r="K12" s="12" t="s">
        <v>10</v>
      </c>
      <c r="L12" s="12" t="s">
        <v>10</v>
      </c>
      <c r="M12" s="12" t="s">
        <v>10</v>
      </c>
      <c r="N12" s="12" t="s">
        <v>10</v>
      </c>
      <c r="O12" s="12" t="s">
        <v>10</v>
      </c>
      <c r="P12" s="12"/>
      <c r="Q12" s="12" t="s">
        <v>10</v>
      </c>
      <c r="R12" s="12" t="s">
        <v>10</v>
      </c>
      <c r="S12" s="12"/>
      <c r="T12" s="12"/>
    </row>
    <row r="14" spans="1:20" x14ac:dyDescent="0.3">
      <c r="A14" s="10" t="s">
        <v>149</v>
      </c>
      <c r="B14" s="1" t="s">
        <v>6</v>
      </c>
      <c r="C14" s="1" t="s">
        <v>12</v>
      </c>
      <c r="D14" s="1" t="s">
        <v>17</v>
      </c>
      <c r="E14" s="1" t="s">
        <v>22</v>
      </c>
      <c r="F14" s="1" t="s">
        <v>27</v>
      </c>
      <c r="G14" s="1" t="s">
        <v>32</v>
      </c>
      <c r="H14" s="1" t="s">
        <v>37</v>
      </c>
      <c r="I14" s="1" t="s">
        <v>42</v>
      </c>
      <c r="J14" s="1" t="s">
        <v>47</v>
      </c>
      <c r="K14" s="1" t="s">
        <v>52</v>
      </c>
      <c r="L14" s="1" t="s">
        <v>57</v>
      </c>
      <c r="M14" s="1" t="s">
        <v>62</v>
      </c>
      <c r="N14" s="1" t="s">
        <v>67</v>
      </c>
      <c r="O14" s="1" t="s">
        <v>72</v>
      </c>
      <c r="P14" s="1" t="s">
        <v>77</v>
      </c>
      <c r="Q14" s="1" t="s">
        <v>82</v>
      </c>
      <c r="R14" s="1" t="s">
        <v>87</v>
      </c>
      <c r="S14" s="1" t="s">
        <v>92</v>
      </c>
      <c r="T14" s="1" t="s">
        <v>97</v>
      </c>
    </row>
    <row r="15" spans="1:20" x14ac:dyDescent="0.3">
      <c r="A15" s="11" t="s">
        <v>150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 t="s">
        <v>10</v>
      </c>
      <c r="Q15" s="12"/>
      <c r="R15" s="12"/>
      <c r="S15" s="12"/>
      <c r="T15" s="12"/>
    </row>
    <row r="16" spans="1:20" x14ac:dyDescent="0.3">
      <c r="A16" s="11" t="s">
        <v>151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 t="s">
        <v>10</v>
      </c>
      <c r="R16" s="12"/>
      <c r="S16" s="12"/>
      <c r="T16" s="12"/>
    </row>
    <row r="17" spans="1:20" x14ac:dyDescent="0.3">
      <c r="A17" s="11" t="s">
        <v>152</v>
      </c>
      <c r="B17" s="12" t="s">
        <v>10</v>
      </c>
      <c r="C17" s="12" t="s">
        <v>10</v>
      </c>
      <c r="D17" s="12" t="s">
        <v>10</v>
      </c>
      <c r="E17" s="12" t="s">
        <v>10</v>
      </c>
      <c r="F17" s="12" t="s">
        <v>10</v>
      </c>
      <c r="G17" s="12" t="s">
        <v>10</v>
      </c>
      <c r="H17" s="12" t="s">
        <v>10</v>
      </c>
      <c r="I17" s="12" t="s">
        <v>10</v>
      </c>
      <c r="J17" s="12" t="s">
        <v>10</v>
      </c>
      <c r="K17" s="12" t="s">
        <v>10</v>
      </c>
      <c r="L17" s="12" t="s">
        <v>10</v>
      </c>
      <c r="M17" s="12" t="s">
        <v>10</v>
      </c>
      <c r="N17" s="12" t="s">
        <v>10</v>
      </c>
      <c r="O17" s="12" t="s">
        <v>10</v>
      </c>
      <c r="P17" s="12"/>
      <c r="Q17" s="12"/>
      <c r="R17" s="12" t="s">
        <v>10</v>
      </c>
      <c r="S17" s="12"/>
      <c r="T17" s="12"/>
    </row>
    <row r="18" spans="1:20" x14ac:dyDescent="0.3">
      <c r="A18" s="11" t="s">
        <v>153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 t="s">
        <v>10</v>
      </c>
      <c r="M18" s="12"/>
      <c r="N18" s="12"/>
      <c r="O18" s="12"/>
      <c r="P18" s="12"/>
      <c r="Q18" s="12"/>
      <c r="R18" s="12"/>
      <c r="S18" s="12"/>
      <c r="T18" s="12"/>
    </row>
    <row r="19" spans="1:20" x14ac:dyDescent="0.3">
      <c r="A19" s="11" t="s">
        <v>154</v>
      </c>
      <c r="B19" s="12"/>
      <c r="C19" s="12"/>
      <c r="D19" s="12"/>
      <c r="E19" s="12"/>
      <c r="F19" s="12"/>
      <c r="G19" s="12"/>
      <c r="H19" s="12"/>
      <c r="I19" s="12"/>
      <c r="J19" s="12"/>
      <c r="K19" s="12" t="s">
        <v>10</v>
      </c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3">
      <c r="A20" s="11" t="s">
        <v>155</v>
      </c>
      <c r="B20" s="12" t="s">
        <v>10</v>
      </c>
      <c r="C20" s="12" t="s">
        <v>10</v>
      </c>
      <c r="D20" s="12" t="s">
        <v>10</v>
      </c>
      <c r="E20" s="12" t="s">
        <v>10</v>
      </c>
      <c r="F20" s="12" t="s">
        <v>10</v>
      </c>
      <c r="G20" s="12" t="s">
        <v>10</v>
      </c>
      <c r="H20" s="12" t="s">
        <v>10</v>
      </c>
      <c r="I20" s="12" t="s">
        <v>10</v>
      </c>
      <c r="J20" s="12" t="s">
        <v>10</v>
      </c>
      <c r="K20" s="12"/>
      <c r="L20" s="12"/>
      <c r="M20" s="12" t="s">
        <v>10</v>
      </c>
      <c r="N20" s="12" t="s">
        <v>10</v>
      </c>
      <c r="O20" s="12" t="s">
        <v>10</v>
      </c>
      <c r="P20" s="12"/>
      <c r="Q20" s="12" t="s">
        <v>10</v>
      </c>
      <c r="R20" s="12" t="s">
        <v>10</v>
      </c>
      <c r="S20" s="12" t="s">
        <v>10</v>
      </c>
      <c r="T20" s="12"/>
    </row>
    <row r="21" spans="1:20" x14ac:dyDescent="0.3">
      <c r="A21" s="11" t="s">
        <v>156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 t="s">
        <v>10</v>
      </c>
      <c r="P21" s="12"/>
      <c r="Q21" s="12" t="s">
        <v>10</v>
      </c>
      <c r="R21" s="12" t="s">
        <v>10</v>
      </c>
      <c r="S21" s="12"/>
      <c r="T21" s="12"/>
    </row>
    <row r="22" spans="1:20" x14ac:dyDescent="0.3">
      <c r="A22" s="11" t="s">
        <v>157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10</v>
      </c>
      <c r="O22" s="12"/>
      <c r="P22" s="12"/>
      <c r="Q22" s="12"/>
      <c r="R22" s="12"/>
      <c r="S22" s="12"/>
      <c r="T22" s="12"/>
    </row>
    <row r="23" spans="1:20" x14ac:dyDescent="0.3">
      <c r="A23" s="11" t="s">
        <v>158</v>
      </c>
      <c r="B23" s="12" t="s">
        <v>10</v>
      </c>
      <c r="C23" s="12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2" t="s">
        <v>10</v>
      </c>
      <c r="I23" s="12" t="s">
        <v>10</v>
      </c>
      <c r="J23" s="12" t="s">
        <v>10</v>
      </c>
      <c r="K23" s="12" t="s">
        <v>10</v>
      </c>
      <c r="L23" s="12" t="s">
        <v>10</v>
      </c>
      <c r="M23" s="12" t="s">
        <v>10</v>
      </c>
      <c r="N23" s="12" t="s">
        <v>10</v>
      </c>
      <c r="O23" s="12"/>
      <c r="P23" s="12"/>
      <c r="Q23" s="12"/>
      <c r="R23" s="12"/>
      <c r="S23" s="12"/>
      <c r="T23" s="12"/>
    </row>
    <row r="24" spans="1:20" x14ac:dyDescent="0.3">
      <c r="A24" s="11" t="s">
        <v>159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 t="s">
        <v>10</v>
      </c>
      <c r="T24" s="12"/>
    </row>
    <row r="26" spans="1:20" x14ac:dyDescent="0.3">
      <c r="A26" s="10" t="s">
        <v>160</v>
      </c>
      <c r="B26" s="1" t="s">
        <v>6</v>
      </c>
      <c r="C26" s="1" t="s">
        <v>12</v>
      </c>
      <c r="D26" s="1" t="s">
        <v>17</v>
      </c>
      <c r="E26" s="1" t="s">
        <v>22</v>
      </c>
      <c r="F26" s="1" t="s">
        <v>27</v>
      </c>
      <c r="G26" s="1" t="s">
        <v>32</v>
      </c>
      <c r="H26" s="1" t="s">
        <v>37</v>
      </c>
      <c r="I26" s="1" t="s">
        <v>42</v>
      </c>
      <c r="J26" s="1" t="s">
        <v>47</v>
      </c>
      <c r="K26" s="1" t="s">
        <v>52</v>
      </c>
      <c r="L26" s="1" t="s">
        <v>57</v>
      </c>
      <c r="M26" s="1" t="s">
        <v>62</v>
      </c>
      <c r="N26" s="1" t="s">
        <v>67</v>
      </c>
      <c r="O26" s="1" t="s">
        <v>72</v>
      </c>
      <c r="P26" s="1" t="s">
        <v>77</v>
      </c>
      <c r="Q26" s="1" t="s">
        <v>82</v>
      </c>
      <c r="R26" s="1" t="s">
        <v>87</v>
      </c>
      <c r="S26" s="1" t="s">
        <v>92</v>
      </c>
      <c r="T26" s="1" t="s">
        <v>97</v>
      </c>
    </row>
    <row r="27" spans="1:20" x14ac:dyDescent="0.3">
      <c r="A27" s="11" t="s">
        <v>161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 t="s">
        <v>10</v>
      </c>
      <c r="Q27" s="12"/>
      <c r="R27" s="12"/>
      <c r="S27" s="12"/>
      <c r="T27" s="12"/>
    </row>
    <row r="28" spans="1:20" x14ac:dyDescent="0.3">
      <c r="A28" s="11" t="s">
        <v>162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 t="s">
        <v>10</v>
      </c>
      <c r="M28" s="12"/>
      <c r="N28" s="12"/>
      <c r="O28" s="12"/>
      <c r="P28" s="12"/>
      <c r="Q28" s="12"/>
      <c r="R28" s="12"/>
      <c r="S28" s="12"/>
      <c r="T28" s="12"/>
    </row>
    <row r="29" spans="1:20" x14ac:dyDescent="0.3">
      <c r="A29" s="11" t="s">
        <v>163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 t="s">
        <v>10</v>
      </c>
      <c r="P29" s="12"/>
      <c r="Q29" s="12"/>
      <c r="R29" s="12"/>
      <c r="S29" s="12"/>
      <c r="T29" s="12"/>
    </row>
    <row r="30" spans="1:20" x14ac:dyDescent="0.3">
      <c r="A30" s="11" t="s">
        <v>164</v>
      </c>
      <c r="B30" s="12" t="s">
        <v>10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ЧЯ</vt:lpstr>
      <vt:lpstr>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Seonman .</cp:lastModifiedBy>
  <cp:revision>0</cp:revision>
  <dcterms:created xsi:type="dcterms:W3CDTF">2026-10-03T07:19:43Z</dcterms:created>
  <dcterms:modified xsi:type="dcterms:W3CDTF">2026-10-03T07:32:27Z</dcterms:modified>
  <dc:language>en-US</dc:language>
</cp:coreProperties>
</file>